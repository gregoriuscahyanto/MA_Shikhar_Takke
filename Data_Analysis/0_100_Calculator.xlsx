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OCUMENTS\Hochschule Esslingen\Modules\Winter 2025\Master Thesis\Data\"/>
    </mc:Choice>
  </mc:AlternateContent>
  <xr:revisionPtr revIDLastSave="0" documentId="13_ncr:1_{C40D4C23-9D2D-49EC-90D4-2BB8E73652C3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0-100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5" i="1" l="1"/>
  <c r="S16" i="1"/>
  <c r="S17" i="1"/>
  <c r="S18" i="1"/>
  <c r="S19" i="1"/>
  <c r="S14" i="1"/>
  <c r="J7" i="1"/>
  <c r="M5" i="1"/>
  <c r="D6" i="1" s="1"/>
  <c r="L5" i="1"/>
  <c r="K5" i="1"/>
  <c r="J5" i="1"/>
  <c r="F17" i="1"/>
  <c r="D17" i="1"/>
  <c r="D18" i="1" s="1"/>
  <c r="D20" i="1" s="1"/>
  <c r="K7" i="1" l="1"/>
  <c r="D19" i="1"/>
  <c r="D30" i="1" s="1"/>
  <c r="D21" i="1"/>
  <c r="D32" i="1" s="1"/>
  <c r="D31" i="1"/>
  <c r="D7" i="1" l="1"/>
  <c r="E34" i="1" s="1"/>
  <c r="D34" i="1" l="1"/>
  <c r="E31" i="1"/>
  <c r="E32" i="1"/>
  <c r="D22" i="1"/>
  <c r="D23" i="1" s="1"/>
  <c r="D26" i="1" s="1"/>
  <c r="E30" i="1"/>
  <c r="E33" i="1" l="1"/>
  <c r="D33" i="1"/>
</calcChain>
</file>

<file path=xl/sharedStrings.xml><?xml version="1.0" encoding="utf-8"?>
<sst xmlns="http://schemas.openxmlformats.org/spreadsheetml/2006/main" count="107" uniqueCount="91">
  <si>
    <t>0 – 100 km/h Acceleration Time Calculator</t>
  </si>
  <si>
    <t>Based on Longitudinal Vehicle Dynamics  |  F_A = F_WR + F_WL + F_WS + F_WB</t>
  </si>
  <si>
    <t xml:space="preserve">  ① Vehicle Parameters  (Yellow cells = inputs)</t>
  </si>
  <si>
    <t>Parameter</t>
  </si>
  <si>
    <t>Symbol</t>
  </si>
  <si>
    <t>Value</t>
  </si>
  <si>
    <t>Unit</t>
  </si>
  <si>
    <t>Typical Range / Note</t>
  </si>
  <si>
    <t>Vehicle Mass</t>
  </si>
  <si>
    <t>m</t>
  </si>
  <si>
    <t>kg</t>
  </si>
  <si>
    <t>Curb mass incl. driver</t>
  </si>
  <si>
    <t>Max. Tractive Force (at wheel)</t>
  </si>
  <si>
    <t>F_A</t>
  </si>
  <si>
    <t>N</t>
  </si>
  <si>
    <t>Rolling Resistance Coeff.</t>
  </si>
  <si>
    <t>f_R</t>
  </si>
  <si>
    <t>–</t>
  </si>
  <si>
    <t>Asphalt: 0.010–0.015</t>
  </si>
  <si>
    <t>Air Density</t>
  </si>
  <si>
    <t>ρ</t>
  </si>
  <si>
    <t>kg/m³</t>
  </si>
  <si>
    <t>Standard: 1.2 at 20 °C</t>
  </si>
  <si>
    <t>Drag Coefficient</t>
  </si>
  <si>
    <t>c_d</t>
  </si>
  <si>
    <t>Sedan: 0.25–0.35</t>
  </si>
  <si>
    <t>Frontal Area</t>
  </si>
  <si>
    <t>A_f</t>
  </si>
  <si>
    <t>m²</t>
  </si>
  <si>
    <t>Typical: 2.0–2.5 m²</t>
  </si>
  <si>
    <t>Slope Angle</t>
  </si>
  <si>
    <t>α</t>
  </si>
  <si>
    <t>°</t>
  </si>
  <si>
    <t>0° = flat road</t>
  </si>
  <si>
    <t>Rotational Inertia Factor</t>
  </si>
  <si>
    <t>λ</t>
  </si>
  <si>
    <t>1.05 (EV) – 1.15 (ICE)</t>
  </si>
  <si>
    <t xml:space="preserve">  ② Intermediate Calculations</t>
  </si>
  <si>
    <t>Velocity at 100 km/h</t>
  </si>
  <si>
    <t>v₁₀₀</t>
  </si>
  <si>
    <t>m/s</t>
  </si>
  <si>
    <t>Mean Velocity (v₀+v₁₀₀)/2</t>
  </si>
  <si>
    <t>v_mean</t>
  </si>
  <si>
    <t>Arithmetic mean for F_WL evaluation</t>
  </si>
  <si>
    <t>Rolling Resistance</t>
  </si>
  <si>
    <t>F_WR</t>
  </si>
  <si>
    <t>f_R · m · g · cos(α)</t>
  </si>
  <si>
    <t>Air (Aero) Resistance</t>
  </si>
  <si>
    <t>F_WL</t>
  </si>
  <si>
    <t>½ · ρ · c_d · A · v_mean²</t>
  </si>
  <si>
    <t>Slope Resistance</t>
  </si>
  <si>
    <t>F_WS</t>
  </si>
  <si>
    <t>m · g · sin(α)  [0 N on flat road]</t>
  </si>
  <si>
    <t>Net Acceleration Force</t>
  </si>
  <si>
    <t>F_WB</t>
  </si>
  <si>
    <t>F_A − F_WR − F_WL − F_WS</t>
  </si>
  <si>
    <t>Mean Acceleration</t>
  </si>
  <si>
    <t>a_mean</t>
  </si>
  <si>
    <t>m/s²</t>
  </si>
  <si>
    <t>F_WB / (m · λ)</t>
  </si>
  <si>
    <t xml:space="preserve">  ③ Result</t>
  </si>
  <si>
    <t>0 – 100 km/h Time</t>
  </si>
  <si>
    <t>s</t>
  </si>
  <si>
    <t>t = Δv / a_mean = (100/3.6) / a_mean</t>
  </si>
  <si>
    <t xml:space="preserve">  ④ Force Breakdown  (auto-updates with inputs)</t>
  </si>
  <si>
    <t>Force Component</t>
  </si>
  <si>
    <t>Value [N]</t>
  </si>
  <si>
    <t>% of F_A</t>
  </si>
  <si>
    <t>Rolling Resistance  (F_WR)</t>
  </si>
  <si>
    <t>Aero Resistance     (F_WL)</t>
  </si>
  <si>
    <t>Slope Resistance    (F_WS)</t>
  </si>
  <si>
    <t>Net Accel. Force    (F_WB)</t>
  </si>
  <si>
    <t>Motor Force         (F_A)</t>
  </si>
  <si>
    <t xml:space="preserve">  Legend:      Blue background = INPUT cell  |  Green background = Calculated  |  Yellow = Result</t>
  </si>
  <si>
    <t>T_mot · i_total · η /@ r_dyn</t>
  </si>
  <si>
    <t>Torque</t>
  </si>
  <si>
    <t>i_Total</t>
  </si>
  <si>
    <t>Efficiency</t>
  </si>
  <si>
    <t>r_dyn</t>
  </si>
  <si>
    <t>i_AG</t>
  </si>
  <si>
    <t>Gear Ratio</t>
  </si>
  <si>
    <t>ID</t>
  </si>
  <si>
    <t>Actual</t>
  </si>
  <si>
    <t>Simulation</t>
  </si>
  <si>
    <t>Excel Calculation</t>
  </si>
  <si>
    <t>Mass</t>
  </si>
  <si>
    <t>1st Gear Ratio</t>
  </si>
  <si>
    <t>2nd Gear Ratio</t>
  </si>
  <si>
    <t>Select Car</t>
  </si>
  <si>
    <t>Current Parameters</t>
  </si>
  <si>
    <t>Error with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</si>
</sst>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&quot;%&quot;"/>
  </numFmts>
  <fonts count="18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0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1"/>
      <color rgb="FF000000"/>
      <name val="Calibri"/>
      <family val="2"/>
    </font>
    <font>
      <i/>
      <sz val="11"/>
      <name val="Calibri"/>
      <family val="2"/>
    </font>
    <font>
      <b/>
      <sz val="11"/>
      <color rgb="FF1F3864"/>
      <name val="Calibri"/>
      <family val="2"/>
    </font>
    <font>
      <b/>
      <sz val="11"/>
      <color rgb="FF375623"/>
      <name val="Calibri"/>
      <family val="2"/>
    </font>
    <font>
      <b/>
      <sz val="13"/>
      <color rgb="FF7B3F00"/>
      <name val="Calibri"/>
      <family val="2"/>
    </font>
    <font>
      <b/>
      <sz val="16"/>
      <color rgb="FF7B3F00"/>
      <name val="Calibri"/>
      <family val="2"/>
    </font>
    <font>
      <i/>
      <sz val="10"/>
      <color rgb="FF7B3F00"/>
      <name val="Calibri"/>
      <family val="2"/>
    </font>
    <font>
      <b/>
      <sz val="11"/>
      <color rgb="FF000000"/>
      <name val="Calibri"/>
      <family val="2"/>
    </font>
    <font>
      <i/>
      <sz val="9"/>
      <color rgb="FF444444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305496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EBF3E8"/>
      </patternFill>
    </fill>
    <fill>
      <patternFill patternType="solid">
        <fgColor rgb="FFFFE699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2" fontId="8" fillId="8" borderId="1" xfId="0" applyNumberFormat="1" applyFont="1" applyFill="1" applyBorder="1" applyAlignment="1">
      <alignment horizontal="center" vertical="center" wrapText="1"/>
    </xf>
    <xf numFmtId="2" fontId="10" fillId="9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164" fontId="12" fillId="8" borderId="1" xfId="0" applyNumberFormat="1" applyFont="1" applyFill="1" applyBorder="1" applyAlignment="1">
      <alignment horizontal="center" vertical="center" wrapText="1"/>
    </xf>
    <xf numFmtId="165" fontId="5" fillId="8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164" fontId="12" fillId="6" borderId="1" xfId="0" applyNumberFormat="1" applyFont="1" applyFill="1" applyBorder="1" applyAlignment="1">
      <alignment horizontal="center" vertical="center" wrapText="1"/>
    </xf>
    <xf numFmtId="165" fontId="5" fillId="6" borderId="1" xfId="0" applyNumberFormat="1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9" fillId="9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0" fontId="13" fillId="7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6" fillId="11" borderId="2" xfId="0" applyFont="1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59"/>
  <sheetViews>
    <sheetView tabSelected="1" topLeftCell="B1" zoomScale="85" zoomScaleNormal="85" workbookViewId="0">
      <selection activeCell="T15" sqref="T15"/>
    </sheetView>
  </sheetViews>
  <sheetFormatPr defaultRowHeight="14.4" x14ac:dyDescent="0.3"/>
  <cols>
    <col min="1" max="1" width="4" customWidth="1"/>
    <col min="2" max="2" width="36" customWidth="1"/>
    <col min="3" max="3" width="18" customWidth="1"/>
    <col min="4" max="4" width="16" customWidth="1"/>
    <col min="5" max="5" width="12" customWidth="1"/>
    <col min="6" max="6" width="35" bestFit="1" customWidth="1"/>
    <col min="9" max="9" width="9.77734375" customWidth="1"/>
    <col min="12" max="12" width="10.109375" customWidth="1"/>
    <col min="13" max="13" width="10.5546875" bestFit="1" customWidth="1"/>
    <col min="14" max="14" width="13.77734375" customWidth="1"/>
    <col min="15" max="15" width="14.5546875" bestFit="1" customWidth="1"/>
    <col min="16" max="16" width="11" bestFit="1" customWidth="1"/>
    <col min="17" max="18" width="16.21875" bestFit="1" customWidth="1"/>
    <col min="19" max="19" width="12.77734375" customWidth="1"/>
  </cols>
  <sheetData>
    <row r="1" spans="2:19" ht="36" customHeight="1" x14ac:dyDescent="0.3">
      <c r="B1" s="20" t="s">
        <v>0</v>
      </c>
      <c r="C1" s="21"/>
      <c r="D1" s="21"/>
      <c r="E1" s="21"/>
      <c r="F1" s="21"/>
    </row>
    <row r="2" spans="2:19" ht="19.95" customHeight="1" x14ac:dyDescent="0.3">
      <c r="B2" s="26" t="s">
        <v>1</v>
      </c>
      <c r="C2" s="21"/>
      <c r="D2" s="21"/>
      <c r="E2" s="21"/>
      <c r="F2" s="21"/>
    </row>
    <row r="3" spans="2:19" ht="22.05" customHeight="1" x14ac:dyDescent="0.3">
      <c r="J3" s="32" t="s">
        <v>89</v>
      </c>
      <c r="K3" s="32"/>
      <c r="L3" s="32"/>
      <c r="M3" s="32"/>
    </row>
    <row r="4" spans="2:19" ht="24" customHeight="1" x14ac:dyDescent="0.3">
      <c r="B4" s="25" t="s">
        <v>2</v>
      </c>
      <c r="C4" s="21"/>
      <c r="D4" s="21"/>
      <c r="E4" s="21"/>
      <c r="F4" s="21"/>
      <c r="J4" s="18" t="s">
        <v>81</v>
      </c>
      <c r="K4" s="17" t="s">
        <v>79</v>
      </c>
      <c r="L4" s="17" t="s">
        <v>80</v>
      </c>
      <c r="M4" s="18" t="s">
        <v>85</v>
      </c>
    </row>
    <row r="5" spans="2:19" ht="24" customHeight="1" x14ac:dyDescent="0.3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J5" s="19">
        <f>_xlfn.XLOOKUP(1, I13:I33, J13:J33)</f>
        <v>1459</v>
      </c>
      <c r="K5" s="19">
        <f>_xlfn.XLOOKUP(1, I13:I33, L13:L33)</f>
        <v>4.4400000000000004</v>
      </c>
      <c r="L5" s="19">
        <f>AVERAGE(_xlfn.XLOOKUP(1, I13:I33, N13:N33),_xlfn.XLOOKUP(1, I13:I33, O13:O33))</f>
        <v>2.87</v>
      </c>
      <c r="M5" s="19">
        <f>_xlfn.XLOOKUP(1, I13:I33, K13:K33)</f>
        <v>1510</v>
      </c>
    </row>
    <row r="6" spans="2:19" ht="22.05" customHeight="1" x14ac:dyDescent="0.3">
      <c r="B6" s="2" t="s">
        <v>8</v>
      </c>
      <c r="C6" s="3" t="s">
        <v>9</v>
      </c>
      <c r="D6" s="4">
        <f>M5</f>
        <v>1510</v>
      </c>
      <c r="E6" s="5" t="s">
        <v>10</v>
      </c>
      <c r="F6" s="6" t="s">
        <v>11</v>
      </c>
      <c r="J6" s="17" t="s">
        <v>75</v>
      </c>
      <c r="K6" s="17" t="s">
        <v>76</v>
      </c>
      <c r="L6" s="17" t="s">
        <v>77</v>
      </c>
      <c r="M6" s="17" t="s">
        <v>78</v>
      </c>
    </row>
    <row r="7" spans="2:19" ht="22.05" customHeight="1" x14ac:dyDescent="0.3">
      <c r="B7" s="2" t="s">
        <v>12</v>
      </c>
      <c r="C7" s="3" t="s">
        <v>13</v>
      </c>
      <c r="D7" s="4">
        <f>(J7*K7*L7)/M7</f>
        <v>6462.3556749116606</v>
      </c>
      <c r="E7" s="5" t="s">
        <v>14</v>
      </c>
      <c r="F7" s="6" t="s">
        <v>74</v>
      </c>
      <c r="J7" s="19">
        <f>_xlfn.XLOOKUP(1, I13:I33, M13:M33)</f>
        <v>195</v>
      </c>
      <c r="K7" s="19">
        <f>K5*L5</f>
        <v>12.742800000000001</v>
      </c>
      <c r="L7" s="19">
        <v>0.92</v>
      </c>
      <c r="M7" s="19">
        <v>0.35375000000000001</v>
      </c>
    </row>
    <row r="8" spans="2:19" ht="22.05" customHeight="1" x14ac:dyDescent="0.3">
      <c r="B8" s="2" t="s">
        <v>15</v>
      </c>
      <c r="C8" s="3" t="s">
        <v>16</v>
      </c>
      <c r="D8" s="4">
        <v>0.01</v>
      </c>
      <c r="E8" s="5" t="s">
        <v>17</v>
      </c>
      <c r="F8" s="6" t="s">
        <v>18</v>
      </c>
    </row>
    <row r="9" spans="2:19" ht="22.05" customHeight="1" x14ac:dyDescent="0.3">
      <c r="B9" s="2" t="s">
        <v>19</v>
      </c>
      <c r="C9" s="3" t="s">
        <v>20</v>
      </c>
      <c r="D9" s="4">
        <v>1.2</v>
      </c>
      <c r="E9" s="5" t="s">
        <v>21</v>
      </c>
      <c r="F9" s="6" t="s">
        <v>22</v>
      </c>
    </row>
    <row r="10" spans="2:19" ht="22.05" customHeight="1" x14ac:dyDescent="0.3">
      <c r="B10" s="2" t="s">
        <v>23</v>
      </c>
      <c r="C10" s="3" t="s">
        <v>24</v>
      </c>
      <c r="D10" s="4">
        <v>0.32900000000000001</v>
      </c>
      <c r="E10" s="5" t="s">
        <v>17</v>
      </c>
      <c r="F10" s="6" t="s">
        <v>25</v>
      </c>
    </row>
    <row r="11" spans="2:19" ht="22.05" customHeight="1" x14ac:dyDescent="0.3">
      <c r="B11" s="2" t="s">
        <v>26</v>
      </c>
      <c r="C11" s="3" t="s">
        <v>27</v>
      </c>
      <c r="D11" s="4">
        <v>2.2000000000000002</v>
      </c>
      <c r="E11" s="5" t="s">
        <v>28</v>
      </c>
      <c r="F11" s="6" t="s">
        <v>29</v>
      </c>
    </row>
    <row r="12" spans="2:19" ht="22.05" customHeight="1" x14ac:dyDescent="0.3">
      <c r="B12" s="2" t="s">
        <v>30</v>
      </c>
      <c r="C12" s="3" t="s">
        <v>31</v>
      </c>
      <c r="D12" s="4">
        <v>0</v>
      </c>
      <c r="E12" s="5" t="s">
        <v>32</v>
      </c>
      <c r="F12" s="6" t="s">
        <v>33</v>
      </c>
    </row>
    <row r="13" spans="2:19" ht="22.05" customHeight="1" x14ac:dyDescent="0.3">
      <c r="B13" s="2" t="s">
        <v>34</v>
      </c>
      <c r="C13" s="3" t="s">
        <v>35</v>
      </c>
      <c r="D13" s="4">
        <v>1.1499999999999999</v>
      </c>
      <c r="E13" s="5" t="s">
        <v>17</v>
      </c>
      <c r="F13" s="6" t="s">
        <v>36</v>
      </c>
      <c r="I13" s="27" t="s">
        <v>88</v>
      </c>
      <c r="J13" s="27" t="s">
        <v>81</v>
      </c>
      <c r="K13" s="27" t="s">
        <v>85</v>
      </c>
      <c r="L13" s="27" t="s">
        <v>79</v>
      </c>
      <c r="M13" s="27" t="s">
        <v>75</v>
      </c>
      <c r="N13" s="27" t="s">
        <v>86</v>
      </c>
      <c r="O13" s="27" t="s">
        <v>87</v>
      </c>
      <c r="P13" s="27" t="s">
        <v>82</v>
      </c>
      <c r="Q13" s="27" t="s">
        <v>83</v>
      </c>
      <c r="R13" s="27" t="s">
        <v>84</v>
      </c>
      <c r="S13" s="27" t="s">
        <v>90</v>
      </c>
    </row>
    <row r="14" spans="2:19" ht="22.05" customHeight="1" x14ac:dyDescent="0.3">
      <c r="I14" s="28">
        <v>0</v>
      </c>
      <c r="J14" s="28">
        <v>6</v>
      </c>
      <c r="K14" s="28">
        <v>1285</v>
      </c>
      <c r="L14" s="28">
        <v>3.71</v>
      </c>
      <c r="M14" s="28">
        <v>140</v>
      </c>
      <c r="N14" s="28">
        <v>3.91</v>
      </c>
      <c r="O14" s="28">
        <v>2.2400000000000002</v>
      </c>
      <c r="P14" s="29">
        <v>11.3</v>
      </c>
      <c r="Q14" s="30">
        <v>10.855</v>
      </c>
      <c r="R14" s="31">
        <v>10.41</v>
      </c>
      <c r="S14" s="33">
        <f>ABS(P14-Q14)</f>
        <v>0.44500000000000028</v>
      </c>
    </row>
    <row r="15" spans="2:19" ht="24" customHeight="1" x14ac:dyDescent="0.3">
      <c r="B15" s="25" t="s">
        <v>37</v>
      </c>
      <c r="C15" s="21"/>
      <c r="D15" s="21"/>
      <c r="E15" s="21"/>
      <c r="F15" s="21"/>
      <c r="I15" s="28">
        <v>0</v>
      </c>
      <c r="J15" s="28">
        <v>1019</v>
      </c>
      <c r="K15" s="28">
        <v>1141</v>
      </c>
      <c r="L15" s="28">
        <v>4.25</v>
      </c>
      <c r="M15" s="28">
        <v>124</v>
      </c>
      <c r="N15" s="28">
        <v>3.15</v>
      </c>
      <c r="O15" s="28">
        <v>1.93</v>
      </c>
      <c r="P15" s="29">
        <v>15.3</v>
      </c>
      <c r="Q15" s="30">
        <v>11.92</v>
      </c>
      <c r="R15" s="31">
        <v>11.09</v>
      </c>
      <c r="S15" s="33">
        <f t="shared" ref="S15:S19" si="0">ABS(P15-Q15)</f>
        <v>3.3800000000000008</v>
      </c>
    </row>
    <row r="16" spans="2:19" ht="24" customHeight="1" x14ac:dyDescent="0.3">
      <c r="B16" s="1" t="s">
        <v>3</v>
      </c>
      <c r="C16" s="1" t="s">
        <v>4</v>
      </c>
      <c r="D16" s="1" t="s">
        <v>5</v>
      </c>
      <c r="E16" s="1" t="s">
        <v>6</v>
      </c>
      <c r="F16" s="1" t="s">
        <v>7</v>
      </c>
      <c r="I16" s="28">
        <v>0</v>
      </c>
      <c r="J16" s="28">
        <v>1588</v>
      </c>
      <c r="K16" s="28">
        <v>1955</v>
      </c>
      <c r="L16" s="28">
        <v>3.54</v>
      </c>
      <c r="M16" s="28">
        <v>300</v>
      </c>
      <c r="N16" s="28">
        <v>3.69</v>
      </c>
      <c r="O16" s="28">
        <v>2.13</v>
      </c>
      <c r="P16" s="29">
        <v>17.5</v>
      </c>
      <c r="Q16" s="30">
        <v>12.055</v>
      </c>
      <c r="R16" s="31">
        <v>8.0500000000000007</v>
      </c>
      <c r="S16" s="33">
        <f t="shared" si="0"/>
        <v>5.4450000000000003</v>
      </c>
    </row>
    <row r="17" spans="2:19" ht="22.05" customHeight="1" x14ac:dyDescent="0.3">
      <c r="B17" s="2" t="s">
        <v>38</v>
      </c>
      <c r="C17" s="3" t="s">
        <v>39</v>
      </c>
      <c r="D17" s="7">
        <f>100/3.6</f>
        <v>27.777777777777779</v>
      </c>
      <c r="E17" s="5" t="s">
        <v>40</v>
      </c>
      <c r="F17" s="6">
        <f>100 / 3.6</f>
        <v>27.777777777777779</v>
      </c>
      <c r="I17" s="28">
        <v>0</v>
      </c>
      <c r="J17" s="28">
        <v>1871</v>
      </c>
      <c r="K17" s="28">
        <v>1635</v>
      </c>
      <c r="L17" s="28">
        <v>4.78</v>
      </c>
      <c r="M17" s="28">
        <v>171</v>
      </c>
      <c r="N17" s="28">
        <v>4.25</v>
      </c>
      <c r="O17" s="28">
        <v>2.36</v>
      </c>
      <c r="P17" s="29">
        <v>36.799999999999997</v>
      </c>
      <c r="Q17" s="30">
        <v>15.04</v>
      </c>
      <c r="R17" s="31">
        <v>7.7</v>
      </c>
      <c r="S17" s="33">
        <f t="shared" si="0"/>
        <v>21.759999999999998</v>
      </c>
    </row>
    <row r="18" spans="2:19" ht="22.05" customHeight="1" x14ac:dyDescent="0.3">
      <c r="B18" s="2" t="s">
        <v>41</v>
      </c>
      <c r="C18" s="3" t="s">
        <v>42</v>
      </c>
      <c r="D18" s="7">
        <f>(0+D17)/2</f>
        <v>13.888888888888889</v>
      </c>
      <c r="E18" s="5" t="s">
        <v>40</v>
      </c>
      <c r="F18" s="6" t="s">
        <v>43</v>
      </c>
      <c r="I18" s="28">
        <v>0</v>
      </c>
      <c r="J18" s="28">
        <v>4590</v>
      </c>
      <c r="K18" s="28">
        <v>1485</v>
      </c>
      <c r="L18" s="28">
        <v>4.07</v>
      </c>
      <c r="M18" s="28">
        <v>200</v>
      </c>
      <c r="N18" s="28">
        <v>3.15</v>
      </c>
      <c r="O18" s="28">
        <v>1.95</v>
      </c>
      <c r="P18" s="29">
        <v>6.8</v>
      </c>
      <c r="Q18" s="30">
        <v>11.78</v>
      </c>
      <c r="R18" s="31">
        <v>9.18</v>
      </c>
      <c r="S18" s="33">
        <f t="shared" si="0"/>
        <v>4.9799999999999995</v>
      </c>
    </row>
    <row r="19" spans="2:19" ht="22.05" customHeight="1" x14ac:dyDescent="0.3">
      <c r="B19" s="2" t="s">
        <v>44</v>
      </c>
      <c r="C19" s="3" t="s">
        <v>45</v>
      </c>
      <c r="D19" s="7">
        <f>D8*D6*9.81*COS(RADIANS(D12))</f>
        <v>148.131</v>
      </c>
      <c r="E19" s="5" t="s">
        <v>14</v>
      </c>
      <c r="F19" s="6" t="s">
        <v>46</v>
      </c>
      <c r="I19" s="28">
        <v>1</v>
      </c>
      <c r="J19" s="28">
        <v>1459</v>
      </c>
      <c r="K19" s="28">
        <v>1510</v>
      </c>
      <c r="L19" s="28">
        <v>4.4400000000000004</v>
      </c>
      <c r="M19" s="28">
        <v>195</v>
      </c>
      <c r="N19" s="28">
        <v>3.72</v>
      </c>
      <c r="O19" s="28">
        <v>2.02</v>
      </c>
      <c r="P19" s="29">
        <v>20.5</v>
      </c>
      <c r="Q19" s="30">
        <v>14.2</v>
      </c>
      <c r="R19" s="31">
        <v>7.74</v>
      </c>
      <c r="S19" s="33">
        <f t="shared" si="0"/>
        <v>6.3000000000000007</v>
      </c>
    </row>
    <row r="20" spans="2:19" ht="22.05" customHeight="1" x14ac:dyDescent="0.3">
      <c r="B20" s="2" t="s">
        <v>47</v>
      </c>
      <c r="C20" s="3" t="s">
        <v>48</v>
      </c>
      <c r="D20" s="7">
        <f>0.5*D9*D10*D11*D18^2</f>
        <v>83.773148148148152</v>
      </c>
      <c r="E20" s="5" t="s">
        <v>14</v>
      </c>
      <c r="F20" s="6" t="s">
        <v>49</v>
      </c>
    </row>
    <row r="21" spans="2:19" ht="22.05" customHeight="1" x14ac:dyDescent="0.3">
      <c r="B21" s="2" t="s">
        <v>50</v>
      </c>
      <c r="C21" s="3" t="s">
        <v>51</v>
      </c>
      <c r="D21" s="7">
        <f>D6*9.81*SIN(RADIANS(D12))</f>
        <v>0</v>
      </c>
      <c r="E21" s="5" t="s">
        <v>14</v>
      </c>
      <c r="F21" s="6" t="s">
        <v>52</v>
      </c>
    </row>
    <row r="22" spans="2:19" ht="22.05" customHeight="1" x14ac:dyDescent="0.3">
      <c r="B22" s="2" t="s">
        <v>53</v>
      </c>
      <c r="C22" s="3" t="s">
        <v>54</v>
      </c>
      <c r="D22" s="7">
        <f>D7-D19-D20-D21</f>
        <v>6230.4515267635124</v>
      </c>
      <c r="E22" s="5" t="s">
        <v>14</v>
      </c>
      <c r="F22" s="6" t="s">
        <v>55</v>
      </c>
    </row>
    <row r="23" spans="2:19" ht="22.05" customHeight="1" x14ac:dyDescent="0.3">
      <c r="B23" s="2" t="s">
        <v>56</v>
      </c>
      <c r="C23" s="3" t="s">
        <v>57</v>
      </c>
      <c r="D23" s="7">
        <f>D22/(D6*D13)</f>
        <v>3.5879363816662906</v>
      </c>
      <c r="E23" s="5" t="s">
        <v>58</v>
      </c>
      <c r="F23" s="6" t="s">
        <v>59</v>
      </c>
    </row>
    <row r="24" spans="2:19" ht="22.05" customHeight="1" x14ac:dyDescent="0.3"/>
    <row r="25" spans="2:19" ht="24" customHeight="1" x14ac:dyDescent="0.3">
      <c r="B25" s="25" t="s">
        <v>60</v>
      </c>
      <c r="C25" s="21"/>
      <c r="D25" s="21"/>
      <c r="E25" s="21"/>
      <c r="F25" s="21"/>
    </row>
    <row r="26" spans="2:19" ht="31.95" customHeight="1" x14ac:dyDescent="0.3">
      <c r="B26" s="22" t="s">
        <v>61</v>
      </c>
      <c r="C26" s="23"/>
      <c r="D26" s="8">
        <f>D17/D23</f>
        <v>7.7419928401510196</v>
      </c>
      <c r="E26" s="9" t="s">
        <v>62</v>
      </c>
      <c r="F26" s="10" t="s">
        <v>63</v>
      </c>
    </row>
    <row r="27" spans="2:19" ht="22.05" customHeight="1" x14ac:dyDescent="0.3"/>
    <row r="28" spans="2:19" ht="24" customHeight="1" x14ac:dyDescent="0.3">
      <c r="B28" s="25" t="s">
        <v>64</v>
      </c>
      <c r="C28" s="21"/>
      <c r="D28" s="21"/>
      <c r="E28" s="21"/>
      <c r="F28" s="21"/>
    </row>
    <row r="29" spans="2:19" ht="22.05" customHeight="1" x14ac:dyDescent="0.3">
      <c r="B29" s="1" t="s">
        <v>65</v>
      </c>
      <c r="D29" s="1" t="s">
        <v>66</v>
      </c>
      <c r="E29" s="1" t="s">
        <v>67</v>
      </c>
    </row>
    <row r="30" spans="2:19" ht="22.05" customHeight="1" x14ac:dyDescent="0.3">
      <c r="B30" s="11" t="s">
        <v>68</v>
      </c>
      <c r="D30" s="12">
        <f>D19</f>
        <v>148.131</v>
      </c>
      <c r="E30" s="13">
        <f>D19/D7*100</f>
        <v>2.2922136671473892</v>
      </c>
    </row>
    <row r="31" spans="2:19" ht="22.05" customHeight="1" x14ac:dyDescent="0.3">
      <c r="B31" s="11" t="s">
        <v>69</v>
      </c>
      <c r="D31" s="12">
        <f>D20</f>
        <v>83.773148148148152</v>
      </c>
      <c r="E31" s="13">
        <f>D20/D7*100</f>
        <v>1.2963252467420607</v>
      </c>
    </row>
    <row r="32" spans="2:19" ht="22.05" customHeight="1" x14ac:dyDescent="0.3">
      <c r="B32" s="11" t="s">
        <v>70</v>
      </c>
      <c r="D32" s="12">
        <f>D21</f>
        <v>0</v>
      </c>
      <c r="E32" s="13">
        <f>D21/D7*100</f>
        <v>0</v>
      </c>
    </row>
    <row r="33" spans="2:6" ht="22.05" customHeight="1" x14ac:dyDescent="0.3">
      <c r="B33" s="11" t="s">
        <v>71</v>
      </c>
      <c r="D33" s="12">
        <f>D22</f>
        <v>6230.4515267635124</v>
      </c>
      <c r="E33" s="13">
        <f>D22/D7*100</f>
        <v>96.411461086110549</v>
      </c>
    </row>
    <row r="34" spans="2:6" ht="22.05" customHeight="1" x14ac:dyDescent="0.3">
      <c r="B34" s="14" t="s">
        <v>72</v>
      </c>
      <c r="D34" s="15">
        <f>D7</f>
        <v>6462.3556749116606</v>
      </c>
      <c r="E34" s="16">
        <f>D7/D7*100</f>
        <v>100</v>
      </c>
    </row>
    <row r="35" spans="2:6" ht="22.05" customHeight="1" x14ac:dyDescent="0.3"/>
    <row r="36" spans="2:6" ht="22.05" customHeight="1" x14ac:dyDescent="0.3">
      <c r="B36" s="24" t="s">
        <v>73</v>
      </c>
      <c r="C36" s="21"/>
      <c r="D36" s="21"/>
      <c r="E36" s="21"/>
      <c r="F36" s="21"/>
    </row>
    <row r="37" spans="2:6" ht="22.05" customHeight="1" x14ac:dyDescent="0.3"/>
    <row r="38" spans="2:6" ht="22.05" customHeight="1" x14ac:dyDescent="0.3"/>
    <row r="39" spans="2:6" ht="22.05" customHeight="1" x14ac:dyDescent="0.3"/>
    <row r="40" spans="2:6" ht="22.05" customHeight="1" x14ac:dyDescent="0.3"/>
    <row r="41" spans="2:6" ht="22.05" customHeight="1" x14ac:dyDescent="0.3"/>
    <row r="42" spans="2:6" ht="22.05" customHeight="1" x14ac:dyDescent="0.3"/>
    <row r="43" spans="2:6" ht="22.05" customHeight="1" x14ac:dyDescent="0.3"/>
    <row r="44" spans="2:6" ht="22.05" customHeight="1" x14ac:dyDescent="0.3"/>
    <row r="45" spans="2:6" ht="22.05" customHeight="1" x14ac:dyDescent="0.3"/>
    <row r="46" spans="2:6" ht="22.05" customHeight="1" x14ac:dyDescent="0.3"/>
    <row r="47" spans="2:6" ht="22.05" customHeight="1" x14ac:dyDescent="0.3"/>
    <row r="48" spans="2:6" ht="22.05" customHeight="1" x14ac:dyDescent="0.3"/>
    <row r="49" ht="22.05" customHeight="1" x14ac:dyDescent="0.3"/>
    <row r="50" ht="22.05" customHeight="1" x14ac:dyDescent="0.3"/>
    <row r="51" ht="22.05" customHeight="1" x14ac:dyDescent="0.3"/>
    <row r="52" ht="22.05" customHeight="1" x14ac:dyDescent="0.3"/>
    <row r="53" ht="22.05" customHeight="1" x14ac:dyDescent="0.3"/>
    <row r="54" ht="22.05" customHeight="1" x14ac:dyDescent="0.3"/>
    <row r="55" ht="22.05" customHeight="1" x14ac:dyDescent="0.3"/>
    <row r="56" ht="22.05" customHeight="1" x14ac:dyDescent="0.3"/>
    <row r="57" ht="22.05" customHeight="1" x14ac:dyDescent="0.3"/>
    <row r="58" ht="22.05" customHeight="1" x14ac:dyDescent="0.3"/>
    <row r="59" ht="22.05" customHeight="1" x14ac:dyDescent="0.3"/>
  </sheetData>
  <mergeCells count="9">
    <mergeCell ref="J3:M3"/>
    <mergeCell ref="B1:F1"/>
    <mergeCell ref="B26:C26"/>
    <mergeCell ref="B36:F36"/>
    <mergeCell ref="B4:F4"/>
    <mergeCell ref="B2:F2"/>
    <mergeCell ref="B15:F15"/>
    <mergeCell ref="B25:F25"/>
    <mergeCell ref="B28:F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0-100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Shikhar Takke</cp:lastModifiedBy>
  <dcterms:created xsi:type="dcterms:W3CDTF">2026-03-21T22:36:35Z</dcterms:created>
  <dcterms:modified xsi:type="dcterms:W3CDTF">2026-03-23T22:15:26Z</dcterms:modified>
</cp:coreProperties>
</file>